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e090085da39901/Skrivbord/Code/DD2525/Project/"/>
    </mc:Choice>
  </mc:AlternateContent>
  <xr:revisionPtr revIDLastSave="4" documentId="11_18ED31BAD300D04D8903CCF0505ED87656CD6884" xr6:coauthVersionLast="47" xr6:coauthVersionMax="47" xr10:uidLastSave="{7DF3117C-40F2-4634-9843-BEA90691C69D}"/>
  <bookViews>
    <workbookView xWindow="4140" yWindow="2820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</calcChain>
</file>

<file path=xl/sharedStrings.xml><?xml version="1.0" encoding="utf-8"?>
<sst xmlns="http://schemas.openxmlformats.org/spreadsheetml/2006/main" count="149" uniqueCount="15">
  <si>
    <t>uuid</t>
  </si>
  <si>
    <t>server_time</t>
  </si>
  <si>
    <t>lat</t>
  </si>
  <si>
    <t>lon</t>
  </si>
  <si>
    <t>03d105e0-2eb1-4c70-bcda-a79e699aee9b</t>
  </si>
  <si>
    <t>27d380b2-c9dc-4283-9b99-97fefb010b57</t>
  </si>
  <si>
    <t>3c569422-5a20-429d-9e78-2eadd2a39e22</t>
  </si>
  <si>
    <t>3fc822ae-0af6-4d92-b27e-027d5b1c3c9f</t>
  </si>
  <si>
    <t>4be9d677-32a0-41c6-b742-68071d598331</t>
  </si>
  <si>
    <t>54e3520c-c5c8-4883-9792-8f0fe1ecf388</t>
  </si>
  <si>
    <t>77db945e-38a0-428d-8e91-c2dd32783641</t>
  </si>
  <si>
    <t>7e7b60d2-b1ec-4cde-9042-9858b03e2d3d</t>
  </si>
  <si>
    <t>933996ff-a85a-44a5-8a9b-94973aa0278e</t>
  </si>
  <si>
    <t>e9c61aab-0f20-46a2-977e-47d7275236a7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</si>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</sst>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11488-F0AF-43AE-81B7-1A55759C3BBC}" name="Table1" displayName="Table1" ref="A1:E145" totalsRowShown="0">
  <autoFilter ref="A1:E145" xr:uid="{2AC11488-F0AF-43AE-81B7-1A55759C3BBC}"/>
  <tableColumns count="5">
    <tableColumn id="1" xr3:uid="{3F1DEB48-4ED8-46AA-A929-B303F833BCB0}" name="uuid"/>
    <tableColumn id="2" xr3:uid="{A4205FE0-0B6A-4489-B53E-75A7CFA86498}" name="server_time"/>
    <tableColumn id="3" xr3:uid="{2FA52031-E1B5-46F9-A88E-60F01E447E17}" name="lat"/>
    <tableColumn id="4" xr3:uid="{6201933A-3D13-4D57-8CA3-B7D4F22FC142}" name="lon"/>
    <tableColumn id="5" xr3:uid="{57CA4D2E-8257-424A-91C9-1063F988854A}" name="Column1" dataDxfId="0">
      <calculatedColumnFormula>SQRT(ABS(Table1[[#This Row],[lat]]-C1)^2 + ABS(Table1[[#This Row],[lon]]-D1)^2)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workbookViewId="0">
      <selection activeCell="G7" sqref="G7"/>
    </sheetView>
  </sheetViews>
  <sheetFormatPr defaultRowHeight="14.4" x14ac:dyDescent="0.3"/>
  <cols>
    <col min="2" max="2" width="12.77734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14</v>
      </c>
    </row>
    <row r="2" spans="1:5" x14ac:dyDescent="0.3">
      <c r="A2" t="s">
        <v>4</v>
      </c>
      <c r="B2">
        <v>0</v>
      </c>
      <c r="C2">
        <v>8.5965901886136953E-4</v>
      </c>
      <c r="D2">
        <v>5.1839903694758827E-2</v>
      </c>
      <c r="E2" t="e">
        <f>SQRT(ABS(Table1[[#This Row],[lat]]-C1)^2 + ABS(Table1[[#This Row],[lon]]-D1)^2)</f>
        <v>#VALUE!</v>
      </c>
    </row>
    <row r="3" spans="1:5" x14ac:dyDescent="0.3">
      <c r="A3" t="s">
        <v>4</v>
      </c>
      <c r="B3">
        <v>5</v>
      </c>
      <c r="C3">
        <v>8.5965901886136953E-4</v>
      </c>
      <c r="D3">
        <v>5.1839903694758827E-2</v>
      </c>
      <c r="E3">
        <f>SQRT(ABS(Table1[[#This Row],[lat]]-C2)^2 + ABS(Table1[[#This Row],[lon]]-D2)^2)</f>
        <v>0</v>
      </c>
    </row>
    <row r="4" spans="1:5" x14ac:dyDescent="0.3">
      <c r="A4" t="s">
        <v>4</v>
      </c>
      <c r="B4">
        <v>10</v>
      </c>
      <c r="C4">
        <v>8.5965901886136953E-4</v>
      </c>
      <c r="D4">
        <v>5.1839903694758827E-2</v>
      </c>
      <c r="E4">
        <f>SQRT(ABS(Table1[[#This Row],[lat]]-C3)^2 + ABS(Table1[[#This Row],[lon]]-D3)^2)</f>
        <v>0</v>
      </c>
    </row>
    <row r="5" spans="1:5" x14ac:dyDescent="0.3">
      <c r="A5" t="s">
        <v>4</v>
      </c>
      <c r="B5">
        <v>15</v>
      </c>
      <c r="C5">
        <v>8.5965901886136953E-4</v>
      </c>
      <c r="D5">
        <v>5.1839903694758827E-2</v>
      </c>
      <c r="E5">
        <f>SQRT(ABS(Table1[[#This Row],[lat]]-C4)^2 + ABS(Table1[[#This Row],[lon]]-D4)^2)</f>
        <v>0</v>
      </c>
    </row>
    <row r="6" spans="1:5" x14ac:dyDescent="0.3">
      <c r="A6" t="s">
        <v>4</v>
      </c>
      <c r="B6">
        <v>20</v>
      </c>
      <c r="C6">
        <v>8.5965901886136953E-4</v>
      </c>
      <c r="D6">
        <v>5.1839903694758827E-2</v>
      </c>
      <c r="E6">
        <f>SQRT(ABS(Table1[[#This Row],[lat]]-C5)^2 + ABS(Table1[[#This Row],[lon]]-D5)^2)</f>
        <v>0</v>
      </c>
    </row>
    <row r="7" spans="1:5" x14ac:dyDescent="0.3">
      <c r="A7" t="s">
        <v>4</v>
      </c>
      <c r="B7">
        <v>45</v>
      </c>
      <c r="C7">
        <v>-4.5781061959624947E-2</v>
      </c>
      <c r="D7">
        <v>0.20899632685996589</v>
      </c>
      <c r="E7">
        <f>SQRT(ABS(Table1[[#This Row],[lat]]-C6)^2 + ABS(Table1[[#This Row],[lon]]-D6)^2)</f>
        <v>0.16393138258269721</v>
      </c>
    </row>
    <row r="8" spans="1:5" x14ac:dyDescent="0.3">
      <c r="A8" t="s">
        <v>4</v>
      </c>
      <c r="B8">
        <v>50</v>
      </c>
      <c r="C8">
        <v>-4.5781061959624947E-2</v>
      </c>
      <c r="D8">
        <v>0.20899632685996589</v>
      </c>
      <c r="E8">
        <f>SQRT(ABS(Table1[[#This Row],[lat]]-C7)^2 + ABS(Table1[[#This Row],[lon]]-D7)^2)</f>
        <v>0</v>
      </c>
    </row>
    <row r="9" spans="1:5" x14ac:dyDescent="0.3">
      <c r="A9" t="s">
        <v>4</v>
      </c>
      <c r="B9">
        <v>75</v>
      </c>
      <c r="C9">
        <v>-6.3376737435177346E-3</v>
      </c>
      <c r="D9">
        <v>0.2072964933088747</v>
      </c>
      <c r="E9">
        <f>SQRT(ABS(Table1[[#This Row],[lat]]-C8)^2 + ABS(Table1[[#This Row],[lon]]-D8)^2)</f>
        <v>3.9479998835713771E-2</v>
      </c>
    </row>
    <row r="10" spans="1:5" x14ac:dyDescent="0.3">
      <c r="A10" t="s">
        <v>4</v>
      </c>
      <c r="B10">
        <v>80</v>
      </c>
      <c r="C10">
        <v>-6.3376737435177346E-3</v>
      </c>
      <c r="D10">
        <v>0.2072964933088747</v>
      </c>
      <c r="E10">
        <f>SQRT(ABS(Table1[[#This Row],[lat]]-C9)^2 + ABS(Table1[[#This Row],[lon]]-D9)^2)</f>
        <v>0</v>
      </c>
    </row>
    <row r="11" spans="1:5" x14ac:dyDescent="0.3">
      <c r="A11" t="s">
        <v>4</v>
      </c>
      <c r="B11">
        <v>85</v>
      </c>
      <c r="C11">
        <v>-6.3376737435177346E-3</v>
      </c>
      <c r="D11">
        <v>0.2072964933088747</v>
      </c>
      <c r="E11">
        <f>SQRT(ABS(Table1[[#This Row],[lat]]-C10)^2 + ABS(Table1[[#This Row],[lon]]-D10)^2)</f>
        <v>0</v>
      </c>
    </row>
    <row r="12" spans="1:5" x14ac:dyDescent="0.3">
      <c r="A12" t="s">
        <v>5</v>
      </c>
      <c r="B12">
        <v>0</v>
      </c>
      <c r="C12">
        <v>-8.2249416007693865E-2</v>
      </c>
      <c r="D12">
        <v>0.17202978031216201</v>
      </c>
      <c r="E12">
        <f>SQRT(ABS(Table1[[#This Row],[lat]]-C11)^2 + ABS(Table1[[#This Row],[lon]]-D11)^2)</f>
        <v>8.3703844948575731E-2</v>
      </c>
    </row>
    <row r="13" spans="1:5" x14ac:dyDescent="0.3">
      <c r="A13" t="s">
        <v>5</v>
      </c>
      <c r="B13">
        <v>5</v>
      </c>
      <c r="C13">
        <v>-8.2249416007693865E-2</v>
      </c>
      <c r="D13">
        <v>0.17202978031216201</v>
      </c>
      <c r="E13">
        <f>SQRT(ABS(Table1[[#This Row],[lat]]-C12)^2 + ABS(Table1[[#This Row],[lon]]-D12)^2)</f>
        <v>0</v>
      </c>
    </row>
    <row r="14" spans="1:5" x14ac:dyDescent="0.3">
      <c r="A14" t="s">
        <v>5</v>
      </c>
      <c r="B14">
        <v>10</v>
      </c>
      <c r="C14">
        <v>-8.2249416007693865E-2</v>
      </c>
      <c r="D14">
        <v>0.17202978031216201</v>
      </c>
      <c r="E14">
        <f>SQRT(ABS(Table1[[#This Row],[lat]]-C13)^2 + ABS(Table1[[#This Row],[lon]]-D13)^2)</f>
        <v>0</v>
      </c>
    </row>
    <row r="15" spans="1:5" x14ac:dyDescent="0.3">
      <c r="A15" t="s">
        <v>5</v>
      </c>
      <c r="B15">
        <v>15</v>
      </c>
      <c r="C15">
        <v>-8.2249416007693865E-2</v>
      </c>
      <c r="D15">
        <v>0.17202978031216201</v>
      </c>
      <c r="E15">
        <f>SQRT(ABS(Table1[[#This Row],[lat]]-C14)^2 + ABS(Table1[[#This Row],[lon]]-D14)^2)</f>
        <v>0</v>
      </c>
    </row>
    <row r="16" spans="1:5" x14ac:dyDescent="0.3">
      <c r="A16" t="s">
        <v>5</v>
      </c>
      <c r="B16">
        <v>25</v>
      </c>
      <c r="C16">
        <v>-3.4636135995474988E-3</v>
      </c>
      <c r="D16">
        <v>-1.5554664294215649E-2</v>
      </c>
      <c r="E16">
        <f>SQRT(ABS(Table1[[#This Row],[lat]]-C15)^2 + ABS(Table1[[#This Row],[lon]]-D15)^2)</f>
        <v>0.20345792321602679</v>
      </c>
    </row>
    <row r="17" spans="1:5" x14ac:dyDescent="0.3">
      <c r="A17" t="s">
        <v>5</v>
      </c>
      <c r="B17">
        <v>30</v>
      </c>
      <c r="C17">
        <v>-3.4636135995474988E-3</v>
      </c>
      <c r="D17">
        <v>-1.5554664294215649E-2</v>
      </c>
      <c r="E17">
        <f>SQRT(ABS(Table1[[#This Row],[lat]]-C16)^2 + ABS(Table1[[#This Row],[lon]]-D16)^2)</f>
        <v>0</v>
      </c>
    </row>
    <row r="18" spans="1:5" x14ac:dyDescent="0.3">
      <c r="A18" t="s">
        <v>5</v>
      </c>
      <c r="B18">
        <v>40</v>
      </c>
      <c r="C18">
        <v>0.19126854441041391</v>
      </c>
      <c r="D18">
        <v>0.2495787963985838</v>
      </c>
      <c r="E18">
        <f>SQRT(ABS(Table1[[#This Row],[lat]]-C17)^2 + ABS(Table1[[#This Row],[lon]]-D17)^2)</f>
        <v>0.32896255917985073</v>
      </c>
    </row>
    <row r="19" spans="1:5" x14ac:dyDescent="0.3">
      <c r="A19" t="s">
        <v>5</v>
      </c>
      <c r="B19">
        <v>45</v>
      </c>
      <c r="C19">
        <v>0.19126854441041391</v>
      </c>
      <c r="D19">
        <v>0.2495787963985838</v>
      </c>
      <c r="E19">
        <f>SQRT(ABS(Table1[[#This Row],[lat]]-C18)^2 + ABS(Table1[[#This Row],[lon]]-D18)^2)</f>
        <v>0</v>
      </c>
    </row>
    <row r="20" spans="1:5" x14ac:dyDescent="0.3">
      <c r="A20" t="s">
        <v>5</v>
      </c>
      <c r="B20">
        <v>70</v>
      </c>
      <c r="C20">
        <v>4.9213450442324891E-2</v>
      </c>
      <c r="D20">
        <v>-8.5977141166675375E-2</v>
      </c>
      <c r="E20">
        <f>SQRT(ABS(Table1[[#This Row],[lat]]-C19)^2 + ABS(Table1[[#This Row],[lon]]-D19)^2)</f>
        <v>0.36438638415503771</v>
      </c>
    </row>
    <row r="21" spans="1:5" x14ac:dyDescent="0.3">
      <c r="A21" t="s">
        <v>5</v>
      </c>
      <c r="B21">
        <v>75</v>
      </c>
      <c r="C21">
        <v>4.9213450442324891E-2</v>
      </c>
      <c r="D21">
        <v>-8.5977141166675375E-2</v>
      </c>
      <c r="E21">
        <f>SQRT(ABS(Table1[[#This Row],[lat]]-C20)^2 + ABS(Table1[[#This Row],[lon]]-D20)^2)</f>
        <v>0</v>
      </c>
    </row>
    <row r="22" spans="1:5" x14ac:dyDescent="0.3">
      <c r="A22" t="s">
        <v>5</v>
      </c>
      <c r="B22">
        <v>80</v>
      </c>
      <c r="C22">
        <v>4.9213450442324891E-2</v>
      </c>
      <c r="D22">
        <v>-8.5977141166675375E-2</v>
      </c>
      <c r="E22">
        <f>SQRT(ABS(Table1[[#This Row],[lat]]-C21)^2 + ABS(Table1[[#This Row],[lon]]-D21)^2)</f>
        <v>0</v>
      </c>
    </row>
    <row r="23" spans="1:5" x14ac:dyDescent="0.3">
      <c r="A23" t="s">
        <v>5</v>
      </c>
      <c r="B23">
        <v>85</v>
      </c>
      <c r="C23">
        <v>4.9213450442324891E-2</v>
      </c>
      <c r="D23">
        <v>-8.5977141166675375E-2</v>
      </c>
      <c r="E23">
        <f>SQRT(ABS(Table1[[#This Row],[lat]]-C22)^2 + ABS(Table1[[#This Row],[lon]]-D22)^2)</f>
        <v>0</v>
      </c>
    </row>
    <row r="24" spans="1:5" x14ac:dyDescent="0.3">
      <c r="A24" t="s">
        <v>5</v>
      </c>
      <c r="B24">
        <v>90</v>
      </c>
      <c r="C24">
        <v>4.9213450442324891E-2</v>
      </c>
      <c r="D24">
        <v>-8.5977141166675375E-2</v>
      </c>
      <c r="E24">
        <f>SQRT(ABS(Table1[[#This Row],[lat]]-C23)^2 + ABS(Table1[[#This Row],[lon]]-D23)^2)</f>
        <v>0</v>
      </c>
    </row>
    <row r="25" spans="1:5" x14ac:dyDescent="0.3">
      <c r="A25" t="s">
        <v>5</v>
      </c>
      <c r="B25">
        <v>95</v>
      </c>
      <c r="C25">
        <v>4.9213450442324891E-2</v>
      </c>
      <c r="D25">
        <v>-8.5977141166675375E-2</v>
      </c>
      <c r="E25">
        <f>SQRT(ABS(Table1[[#This Row],[lat]]-C24)^2 + ABS(Table1[[#This Row],[lon]]-D24)^2)</f>
        <v>0</v>
      </c>
    </row>
    <row r="26" spans="1:5" x14ac:dyDescent="0.3">
      <c r="A26" t="s">
        <v>5</v>
      </c>
      <c r="B26">
        <v>100</v>
      </c>
      <c r="C26">
        <v>4.9213450442324891E-2</v>
      </c>
      <c r="D26">
        <v>-8.5977141166675375E-2</v>
      </c>
      <c r="E26">
        <f>SQRT(ABS(Table1[[#This Row],[lat]]-C25)^2 + ABS(Table1[[#This Row],[lon]]-D25)^2)</f>
        <v>0</v>
      </c>
    </row>
    <row r="27" spans="1:5" x14ac:dyDescent="0.3">
      <c r="A27" t="s">
        <v>5</v>
      </c>
      <c r="B27">
        <v>105</v>
      </c>
      <c r="C27">
        <v>4.9213450442324891E-2</v>
      </c>
      <c r="D27">
        <v>-8.5977141166675375E-2</v>
      </c>
      <c r="E27">
        <f>SQRT(ABS(Table1[[#This Row],[lat]]-C26)^2 + ABS(Table1[[#This Row],[lon]]-D26)^2)</f>
        <v>0</v>
      </c>
    </row>
    <row r="28" spans="1:5" x14ac:dyDescent="0.3">
      <c r="A28" t="s">
        <v>5</v>
      </c>
      <c r="B28">
        <v>110</v>
      </c>
      <c r="C28">
        <v>4.9213450442324891E-2</v>
      </c>
      <c r="D28">
        <v>-8.5977141166675375E-2</v>
      </c>
      <c r="E28">
        <f>SQRT(ABS(Table1[[#This Row],[lat]]-C27)^2 + ABS(Table1[[#This Row],[lon]]-D27)^2)</f>
        <v>0</v>
      </c>
    </row>
    <row r="29" spans="1:5" x14ac:dyDescent="0.3">
      <c r="A29" t="s">
        <v>5</v>
      </c>
      <c r="B29">
        <v>115</v>
      </c>
      <c r="C29">
        <v>4.9213450442324891E-2</v>
      </c>
      <c r="D29">
        <v>-8.5977141166675375E-2</v>
      </c>
      <c r="E29">
        <f>SQRT(ABS(Table1[[#This Row],[lat]]-C28)^2 + ABS(Table1[[#This Row],[lon]]-D28)^2)</f>
        <v>0</v>
      </c>
    </row>
    <row r="30" spans="1:5" x14ac:dyDescent="0.3">
      <c r="A30" t="s">
        <v>5</v>
      </c>
      <c r="B30">
        <v>130</v>
      </c>
      <c r="C30">
        <v>0.12773687424803451</v>
      </c>
      <c r="D30">
        <v>5.6208026604168237E-2</v>
      </c>
      <c r="E30">
        <f>SQRT(ABS(Table1[[#This Row],[lat]]-C29)^2 + ABS(Table1[[#This Row],[lon]]-D29)^2)</f>
        <v>0.16242706061550838</v>
      </c>
    </row>
    <row r="31" spans="1:5" x14ac:dyDescent="0.3">
      <c r="A31" t="s">
        <v>5</v>
      </c>
      <c r="B31">
        <v>135</v>
      </c>
      <c r="C31">
        <v>0.12773687424803451</v>
      </c>
      <c r="D31">
        <v>5.6208026604168237E-2</v>
      </c>
      <c r="E31">
        <f>SQRT(ABS(Table1[[#This Row],[lat]]-C30)^2 + ABS(Table1[[#This Row],[lon]]-D30)^2)</f>
        <v>0</v>
      </c>
    </row>
    <row r="32" spans="1:5" x14ac:dyDescent="0.3">
      <c r="A32" t="s">
        <v>6</v>
      </c>
      <c r="B32">
        <v>0</v>
      </c>
      <c r="C32">
        <v>4.1304011016502329E-2</v>
      </c>
      <c r="D32">
        <v>0.16633026205591739</v>
      </c>
      <c r="E32">
        <f>SQRT(ABS(Table1[[#This Row],[lat]]-C31)^2 + ABS(Table1[[#This Row],[lon]]-D31)^2)</f>
        <v>0.13999123753753742</v>
      </c>
    </row>
    <row r="33" spans="1:5" x14ac:dyDescent="0.3">
      <c r="A33" t="s">
        <v>6</v>
      </c>
      <c r="B33">
        <v>5</v>
      </c>
      <c r="C33">
        <v>4.1304011016502329E-2</v>
      </c>
      <c r="D33">
        <v>0.16633026205591739</v>
      </c>
      <c r="E33">
        <f>SQRT(ABS(Table1[[#This Row],[lat]]-C32)^2 + ABS(Table1[[#This Row],[lon]]-D32)^2)</f>
        <v>0</v>
      </c>
    </row>
    <row r="34" spans="1:5" x14ac:dyDescent="0.3">
      <c r="A34" t="s">
        <v>6</v>
      </c>
      <c r="B34">
        <v>10</v>
      </c>
      <c r="C34">
        <v>4.1304011016502329E-2</v>
      </c>
      <c r="D34">
        <v>0.16633026205591739</v>
      </c>
      <c r="E34">
        <f>SQRT(ABS(Table1[[#This Row],[lat]]-C33)^2 + ABS(Table1[[#This Row],[lon]]-D33)^2)</f>
        <v>0</v>
      </c>
    </row>
    <row r="35" spans="1:5" x14ac:dyDescent="0.3">
      <c r="A35" t="s">
        <v>6</v>
      </c>
      <c r="B35">
        <v>60</v>
      </c>
      <c r="C35">
        <v>-5.4721360749767863E-2</v>
      </c>
      <c r="D35">
        <v>7.4872047606291403E-2</v>
      </c>
      <c r="E35">
        <f>SQRT(ABS(Table1[[#This Row],[lat]]-C34)^2 + ABS(Table1[[#This Row],[lon]]-D34)^2)</f>
        <v>0.13261024475192018</v>
      </c>
    </row>
    <row r="36" spans="1:5" x14ac:dyDescent="0.3">
      <c r="A36" t="s">
        <v>6</v>
      </c>
      <c r="B36">
        <v>65</v>
      </c>
      <c r="C36">
        <v>-5.4721360749767863E-2</v>
      </c>
      <c r="D36">
        <v>7.4872047606291403E-2</v>
      </c>
      <c r="E36">
        <f>SQRT(ABS(Table1[[#This Row],[lat]]-C35)^2 + ABS(Table1[[#This Row],[lon]]-D35)^2)</f>
        <v>0</v>
      </c>
    </row>
    <row r="37" spans="1:5" x14ac:dyDescent="0.3">
      <c r="A37" t="s">
        <v>6</v>
      </c>
      <c r="B37">
        <v>70</v>
      </c>
      <c r="C37">
        <v>-5.4721360749767863E-2</v>
      </c>
      <c r="D37">
        <v>7.4872047606291403E-2</v>
      </c>
      <c r="E37">
        <f>SQRT(ABS(Table1[[#This Row],[lat]]-C36)^2 + ABS(Table1[[#This Row],[lon]]-D36)^2)</f>
        <v>0</v>
      </c>
    </row>
    <row r="38" spans="1:5" x14ac:dyDescent="0.3">
      <c r="A38" t="s">
        <v>6</v>
      </c>
      <c r="B38">
        <v>75</v>
      </c>
      <c r="C38">
        <v>-5.4721360749767863E-2</v>
      </c>
      <c r="D38">
        <v>7.4872047606291403E-2</v>
      </c>
      <c r="E38">
        <f>SQRT(ABS(Table1[[#This Row],[lat]]-C37)^2 + ABS(Table1[[#This Row],[lon]]-D37)^2)</f>
        <v>0</v>
      </c>
    </row>
    <row r="39" spans="1:5" x14ac:dyDescent="0.3">
      <c r="A39" t="s">
        <v>6</v>
      </c>
      <c r="B39">
        <v>80</v>
      </c>
      <c r="C39">
        <v>-5.4721360749767863E-2</v>
      </c>
      <c r="D39">
        <v>7.4872047606291403E-2</v>
      </c>
      <c r="E39">
        <f>SQRT(ABS(Table1[[#This Row],[lat]]-C38)^2 + ABS(Table1[[#This Row],[lon]]-D38)^2)</f>
        <v>0</v>
      </c>
    </row>
    <row r="40" spans="1:5" x14ac:dyDescent="0.3">
      <c r="A40" t="s">
        <v>6</v>
      </c>
      <c r="B40">
        <v>85</v>
      </c>
      <c r="C40">
        <v>-5.4721360749767863E-2</v>
      </c>
      <c r="D40">
        <v>7.4872047606291403E-2</v>
      </c>
      <c r="E40">
        <f>SQRT(ABS(Table1[[#This Row],[lat]]-C39)^2 + ABS(Table1[[#This Row],[lon]]-D39)^2)</f>
        <v>0</v>
      </c>
    </row>
    <row r="41" spans="1:5" x14ac:dyDescent="0.3">
      <c r="A41" t="s">
        <v>6</v>
      </c>
      <c r="B41">
        <v>95</v>
      </c>
      <c r="C41">
        <v>0.1076166452205195</v>
      </c>
      <c r="D41">
        <v>-0.23284303932311309</v>
      </c>
      <c r="E41">
        <f>SQRT(ABS(Table1[[#This Row],[lat]]-C40)^2 + ABS(Table1[[#This Row],[lon]]-D40)^2)</f>
        <v>0.34791119974266427</v>
      </c>
    </row>
    <row r="42" spans="1:5" x14ac:dyDescent="0.3">
      <c r="A42" t="s">
        <v>6</v>
      </c>
      <c r="B42">
        <v>100</v>
      </c>
      <c r="C42">
        <v>0.1076166452205195</v>
      </c>
      <c r="D42">
        <v>-0.23284303932311309</v>
      </c>
      <c r="E42">
        <f>SQRT(ABS(Table1[[#This Row],[lat]]-C41)^2 + ABS(Table1[[#This Row],[lon]]-D41)^2)</f>
        <v>0</v>
      </c>
    </row>
    <row r="43" spans="1:5" x14ac:dyDescent="0.3">
      <c r="A43" t="s">
        <v>6</v>
      </c>
      <c r="B43">
        <v>105</v>
      </c>
      <c r="C43">
        <v>0.1076166452205195</v>
      </c>
      <c r="D43">
        <v>-0.23284303932311309</v>
      </c>
      <c r="E43">
        <f>SQRT(ABS(Table1[[#This Row],[lat]]-C42)^2 + ABS(Table1[[#This Row],[lon]]-D42)^2)</f>
        <v>0</v>
      </c>
    </row>
    <row r="44" spans="1:5" x14ac:dyDescent="0.3">
      <c r="A44" t="s">
        <v>6</v>
      </c>
      <c r="B44">
        <v>110</v>
      </c>
      <c r="C44">
        <v>0.1076166452205195</v>
      </c>
      <c r="D44">
        <v>-0.23284303932311309</v>
      </c>
      <c r="E44">
        <f>SQRT(ABS(Table1[[#This Row],[lat]]-C43)^2 + ABS(Table1[[#This Row],[lon]]-D43)^2)</f>
        <v>0</v>
      </c>
    </row>
    <row r="45" spans="1:5" x14ac:dyDescent="0.3">
      <c r="A45" t="s">
        <v>6</v>
      </c>
      <c r="B45">
        <v>115</v>
      </c>
      <c r="C45">
        <v>0.1076166452205195</v>
      </c>
      <c r="D45">
        <v>-0.23284303932311309</v>
      </c>
      <c r="E45">
        <f>SQRT(ABS(Table1[[#This Row],[lat]]-C44)^2 + ABS(Table1[[#This Row],[lon]]-D44)^2)</f>
        <v>0</v>
      </c>
    </row>
    <row r="46" spans="1:5" x14ac:dyDescent="0.3">
      <c r="A46" t="s">
        <v>6</v>
      </c>
      <c r="B46">
        <v>120</v>
      </c>
      <c r="C46">
        <v>0.1076166452205195</v>
      </c>
      <c r="D46">
        <v>-0.23284303932311309</v>
      </c>
      <c r="E46">
        <f>SQRT(ABS(Table1[[#This Row],[lat]]-C45)^2 + ABS(Table1[[#This Row],[lon]]-D45)^2)</f>
        <v>0</v>
      </c>
    </row>
    <row r="47" spans="1:5" x14ac:dyDescent="0.3">
      <c r="A47" t="s">
        <v>6</v>
      </c>
      <c r="B47">
        <v>125</v>
      </c>
      <c r="C47">
        <v>0.1076166452205195</v>
      </c>
      <c r="D47">
        <v>-0.23284303932311309</v>
      </c>
      <c r="E47">
        <f>SQRT(ABS(Table1[[#This Row],[lat]]-C46)^2 + ABS(Table1[[#This Row],[lon]]-D46)^2)</f>
        <v>0</v>
      </c>
    </row>
    <row r="48" spans="1:5" x14ac:dyDescent="0.3">
      <c r="A48" t="s">
        <v>6</v>
      </c>
      <c r="B48">
        <v>130</v>
      </c>
      <c r="C48">
        <v>0.1076166452205195</v>
      </c>
      <c r="D48">
        <v>-0.23284303932311309</v>
      </c>
      <c r="E48">
        <f>SQRT(ABS(Table1[[#This Row],[lat]]-C47)^2 + ABS(Table1[[#This Row],[lon]]-D47)^2)</f>
        <v>0</v>
      </c>
    </row>
    <row r="49" spans="1:5" x14ac:dyDescent="0.3">
      <c r="A49" t="s">
        <v>7</v>
      </c>
      <c r="B49">
        <v>0</v>
      </c>
      <c r="C49">
        <v>8.8522328770808067E-2</v>
      </c>
      <c r="D49">
        <v>0.1871514492673261</v>
      </c>
      <c r="E49">
        <f>SQRT(ABS(Table1[[#This Row],[lat]]-C48)^2 + ABS(Table1[[#This Row],[lon]]-D48)^2)</f>
        <v>0.42042830942626391</v>
      </c>
    </row>
    <row r="50" spans="1:5" x14ac:dyDescent="0.3">
      <c r="A50" t="s">
        <v>7</v>
      </c>
      <c r="B50">
        <v>5</v>
      </c>
      <c r="C50">
        <v>8.8522328770808067E-2</v>
      </c>
      <c r="D50">
        <v>0.1871514492673261</v>
      </c>
      <c r="E50">
        <f>SQRT(ABS(Table1[[#This Row],[lat]]-C49)^2 + ABS(Table1[[#This Row],[lon]]-D49)^2)</f>
        <v>0</v>
      </c>
    </row>
    <row r="51" spans="1:5" x14ac:dyDescent="0.3">
      <c r="A51" t="s">
        <v>7</v>
      </c>
      <c r="B51">
        <v>10</v>
      </c>
      <c r="C51">
        <v>8.8522328770808067E-2</v>
      </c>
      <c r="D51">
        <v>0.1871514492673261</v>
      </c>
      <c r="E51">
        <f>SQRT(ABS(Table1[[#This Row],[lat]]-C50)^2 + ABS(Table1[[#This Row],[lon]]-D50)^2)</f>
        <v>0</v>
      </c>
    </row>
    <row r="52" spans="1:5" x14ac:dyDescent="0.3">
      <c r="A52" t="s">
        <v>7</v>
      </c>
      <c r="B52">
        <v>55</v>
      </c>
      <c r="C52">
        <v>0.13091432502931449</v>
      </c>
      <c r="D52">
        <v>9.8424533902278177E-2</v>
      </c>
      <c r="E52">
        <f>SQRT(ABS(Table1[[#This Row],[lat]]-C51)^2 + ABS(Table1[[#This Row],[lon]]-D51)^2)</f>
        <v>9.8333854073648516E-2</v>
      </c>
    </row>
    <row r="53" spans="1:5" x14ac:dyDescent="0.3">
      <c r="A53" t="s">
        <v>7</v>
      </c>
      <c r="B53">
        <v>60</v>
      </c>
      <c r="C53">
        <v>0.13091432502931449</v>
      </c>
      <c r="D53">
        <v>9.8424533902278177E-2</v>
      </c>
      <c r="E53">
        <f>SQRT(ABS(Table1[[#This Row],[lat]]-C52)^2 + ABS(Table1[[#This Row],[lon]]-D52)^2)</f>
        <v>0</v>
      </c>
    </row>
    <row r="54" spans="1:5" x14ac:dyDescent="0.3">
      <c r="A54" t="s">
        <v>7</v>
      </c>
      <c r="B54">
        <v>65</v>
      </c>
      <c r="C54">
        <v>0.13091432502931449</v>
      </c>
      <c r="D54">
        <v>9.8424533902278177E-2</v>
      </c>
      <c r="E54">
        <f>SQRT(ABS(Table1[[#This Row],[lat]]-C53)^2 + ABS(Table1[[#This Row],[lon]]-D53)^2)</f>
        <v>0</v>
      </c>
    </row>
    <row r="55" spans="1:5" x14ac:dyDescent="0.3">
      <c r="A55" t="s">
        <v>7</v>
      </c>
      <c r="B55">
        <v>70</v>
      </c>
      <c r="C55">
        <v>0.13091432502931449</v>
      </c>
      <c r="D55">
        <v>9.8424533902278177E-2</v>
      </c>
      <c r="E55">
        <f>SQRT(ABS(Table1[[#This Row],[lat]]-C54)^2 + ABS(Table1[[#This Row],[lon]]-D54)^2)</f>
        <v>0</v>
      </c>
    </row>
    <row r="56" spans="1:5" x14ac:dyDescent="0.3">
      <c r="A56" t="s">
        <v>7</v>
      </c>
      <c r="B56">
        <v>75</v>
      </c>
      <c r="C56">
        <v>0.13091432502931449</v>
      </c>
      <c r="D56">
        <v>9.8424533902278177E-2</v>
      </c>
      <c r="E56">
        <f>SQRT(ABS(Table1[[#This Row],[lat]]-C55)^2 + ABS(Table1[[#This Row],[lon]]-D55)^2)</f>
        <v>0</v>
      </c>
    </row>
    <row r="57" spans="1:5" x14ac:dyDescent="0.3">
      <c r="A57" t="s">
        <v>7</v>
      </c>
      <c r="B57">
        <v>135</v>
      </c>
      <c r="C57">
        <v>-0.1697611918128962</v>
      </c>
      <c r="D57">
        <v>-0.22511538877177389</v>
      </c>
      <c r="E57">
        <f>SQRT(ABS(Table1[[#This Row],[lat]]-C56)^2 + ABS(Table1[[#This Row],[lon]]-D56)^2)</f>
        <v>0.4416829722688686</v>
      </c>
    </row>
    <row r="58" spans="1:5" x14ac:dyDescent="0.3">
      <c r="A58" t="s">
        <v>8</v>
      </c>
      <c r="B58">
        <v>0</v>
      </c>
      <c r="C58">
        <v>-9.4104533620637254E-2</v>
      </c>
      <c r="D58">
        <v>0.22588968967342199</v>
      </c>
      <c r="E58">
        <f>SQRT(ABS(Table1[[#This Row],[lat]]-C57)^2 + ABS(Table1[[#This Row],[lon]]-D57)^2)</f>
        <v>0.45730680151532582</v>
      </c>
    </row>
    <row r="59" spans="1:5" x14ac:dyDescent="0.3">
      <c r="A59" t="s">
        <v>8</v>
      </c>
      <c r="B59">
        <v>5</v>
      </c>
      <c r="C59">
        <v>-9.4104533620637254E-2</v>
      </c>
      <c r="D59">
        <v>0.22588968967342199</v>
      </c>
      <c r="E59">
        <f>SQRT(ABS(Table1[[#This Row],[lat]]-C58)^2 + ABS(Table1[[#This Row],[lon]]-D58)^2)</f>
        <v>0</v>
      </c>
    </row>
    <row r="60" spans="1:5" x14ac:dyDescent="0.3">
      <c r="A60" t="s">
        <v>8</v>
      </c>
      <c r="B60">
        <v>10</v>
      </c>
      <c r="C60">
        <v>-9.4104533620637254E-2</v>
      </c>
      <c r="D60">
        <v>0.22588968967342199</v>
      </c>
      <c r="E60">
        <f>SQRT(ABS(Table1[[#This Row],[lat]]-C59)^2 + ABS(Table1[[#This Row],[lon]]-D59)^2)</f>
        <v>0</v>
      </c>
    </row>
    <row r="61" spans="1:5" x14ac:dyDescent="0.3">
      <c r="A61" t="s">
        <v>8</v>
      </c>
      <c r="B61">
        <v>15</v>
      </c>
      <c r="C61">
        <v>-9.4104533620637254E-2</v>
      </c>
      <c r="D61">
        <v>0.22588968967342199</v>
      </c>
      <c r="E61">
        <f>SQRT(ABS(Table1[[#This Row],[lat]]-C60)^2 + ABS(Table1[[#This Row],[lon]]-D60)^2)</f>
        <v>0</v>
      </c>
    </row>
    <row r="62" spans="1:5" x14ac:dyDescent="0.3">
      <c r="A62" t="s">
        <v>8</v>
      </c>
      <c r="B62">
        <v>20</v>
      </c>
      <c r="C62">
        <v>-9.4104533620637254E-2</v>
      </c>
      <c r="D62">
        <v>0.22588968967342199</v>
      </c>
      <c r="E62">
        <f>SQRT(ABS(Table1[[#This Row],[lat]]-C61)^2 + ABS(Table1[[#This Row],[lon]]-D61)^2)</f>
        <v>0</v>
      </c>
    </row>
    <row r="63" spans="1:5" x14ac:dyDescent="0.3">
      <c r="A63" t="s">
        <v>8</v>
      </c>
      <c r="B63">
        <v>25</v>
      </c>
      <c r="C63">
        <v>-9.4104533620637254E-2</v>
      </c>
      <c r="D63">
        <v>0.22588968967342199</v>
      </c>
      <c r="E63">
        <f>SQRT(ABS(Table1[[#This Row],[lat]]-C62)^2 + ABS(Table1[[#This Row],[lon]]-D62)^2)</f>
        <v>0</v>
      </c>
    </row>
    <row r="64" spans="1:5" x14ac:dyDescent="0.3">
      <c r="A64" t="s">
        <v>8</v>
      </c>
      <c r="B64">
        <v>55</v>
      </c>
      <c r="C64">
        <v>-7.4542327846297218E-2</v>
      </c>
      <c r="D64">
        <v>0.1635783130634994</v>
      </c>
      <c r="E64">
        <f>SQRT(ABS(Table1[[#This Row],[lat]]-C63)^2 + ABS(Table1[[#This Row],[lon]]-D63)^2)</f>
        <v>6.5309934541241343E-2</v>
      </c>
    </row>
    <row r="65" spans="1:5" x14ac:dyDescent="0.3">
      <c r="A65" t="s">
        <v>8</v>
      </c>
      <c r="B65">
        <v>60</v>
      </c>
      <c r="C65">
        <v>-7.4542327846297218E-2</v>
      </c>
      <c r="D65">
        <v>0.1635783130634994</v>
      </c>
      <c r="E65">
        <f>SQRT(ABS(Table1[[#This Row],[lat]]-C64)^2 + ABS(Table1[[#This Row],[lon]]-D64)^2)</f>
        <v>0</v>
      </c>
    </row>
    <row r="66" spans="1:5" x14ac:dyDescent="0.3">
      <c r="A66" t="s">
        <v>8</v>
      </c>
      <c r="B66">
        <v>65</v>
      </c>
      <c r="C66">
        <v>-7.4542327846297218E-2</v>
      </c>
      <c r="D66">
        <v>0.1635783130634994</v>
      </c>
      <c r="E66">
        <f>SQRT(ABS(Table1[[#This Row],[lat]]-C65)^2 + ABS(Table1[[#This Row],[lon]]-D65)^2)</f>
        <v>0</v>
      </c>
    </row>
    <row r="67" spans="1:5" x14ac:dyDescent="0.3">
      <c r="A67" t="s">
        <v>8</v>
      </c>
      <c r="B67">
        <v>70</v>
      </c>
      <c r="C67">
        <v>-7.4542327846297218E-2</v>
      </c>
      <c r="D67">
        <v>0.1635783130634994</v>
      </c>
      <c r="E67">
        <f>SQRT(ABS(Table1[[#This Row],[lat]]-C66)^2 + ABS(Table1[[#This Row],[lon]]-D66)^2)</f>
        <v>0</v>
      </c>
    </row>
    <row r="68" spans="1:5" x14ac:dyDescent="0.3">
      <c r="A68" t="s">
        <v>8</v>
      </c>
      <c r="B68">
        <v>75</v>
      </c>
      <c r="C68">
        <v>-7.4542327846297218E-2</v>
      </c>
      <c r="D68">
        <v>0.1635783130634994</v>
      </c>
      <c r="E68">
        <f>SQRT(ABS(Table1[[#This Row],[lat]]-C67)^2 + ABS(Table1[[#This Row],[lon]]-D67)^2)</f>
        <v>0</v>
      </c>
    </row>
    <row r="69" spans="1:5" x14ac:dyDescent="0.3">
      <c r="A69" t="s">
        <v>8</v>
      </c>
      <c r="B69">
        <v>80</v>
      </c>
      <c r="C69">
        <v>-7.4542327846297218E-2</v>
      </c>
      <c r="D69">
        <v>0.1635783130634994</v>
      </c>
      <c r="E69">
        <f>SQRT(ABS(Table1[[#This Row],[lat]]-C68)^2 + ABS(Table1[[#This Row],[lon]]-D68)^2)</f>
        <v>0</v>
      </c>
    </row>
    <row r="70" spans="1:5" x14ac:dyDescent="0.3">
      <c r="A70" t="s">
        <v>8</v>
      </c>
      <c r="B70">
        <v>120</v>
      </c>
      <c r="C70">
        <v>-7.004924630152215E-2</v>
      </c>
      <c r="D70">
        <v>-8.5248285335856322E-2</v>
      </c>
      <c r="E70">
        <f>SQRT(ABS(Table1[[#This Row],[lat]]-C69)^2 + ABS(Table1[[#This Row],[lon]]-D69)^2)</f>
        <v>0.24886716105738468</v>
      </c>
    </row>
    <row r="71" spans="1:5" x14ac:dyDescent="0.3">
      <c r="A71" t="s">
        <v>8</v>
      </c>
      <c r="B71">
        <v>125</v>
      </c>
      <c r="C71">
        <v>-7.004924630152215E-2</v>
      </c>
      <c r="D71">
        <v>-8.5248285335856322E-2</v>
      </c>
      <c r="E71">
        <f>SQRT(ABS(Table1[[#This Row],[lat]]-C70)^2 + ABS(Table1[[#This Row],[lon]]-D70)^2)</f>
        <v>0</v>
      </c>
    </row>
    <row r="72" spans="1:5" x14ac:dyDescent="0.3">
      <c r="A72" t="s">
        <v>8</v>
      </c>
      <c r="B72">
        <v>130</v>
      </c>
      <c r="C72">
        <v>-7.004924630152215E-2</v>
      </c>
      <c r="D72">
        <v>-8.5248285335856322E-2</v>
      </c>
      <c r="E72">
        <f>SQRT(ABS(Table1[[#This Row],[lat]]-C71)^2 + ABS(Table1[[#This Row],[lon]]-D71)^2)</f>
        <v>0</v>
      </c>
    </row>
    <row r="73" spans="1:5" x14ac:dyDescent="0.3">
      <c r="A73" t="s">
        <v>9</v>
      </c>
      <c r="B73">
        <v>0</v>
      </c>
      <c r="C73">
        <v>8.4157621865016186E-2</v>
      </c>
      <c r="D73">
        <v>-1.7484390638241028E-2</v>
      </c>
      <c r="E73">
        <f>SQRT(ABS(Table1[[#This Row],[lat]]-C72)^2 + ABS(Table1[[#This Row],[lon]]-D72)^2)</f>
        <v>0.16843902046236681</v>
      </c>
    </row>
    <row r="74" spans="1:5" x14ac:dyDescent="0.3">
      <c r="A74" t="s">
        <v>9</v>
      </c>
      <c r="B74">
        <v>5</v>
      </c>
      <c r="C74">
        <v>8.4157621865016186E-2</v>
      </c>
      <c r="D74">
        <v>-1.7484390638241028E-2</v>
      </c>
      <c r="E74">
        <f>SQRT(ABS(Table1[[#This Row],[lat]]-C73)^2 + ABS(Table1[[#This Row],[lon]]-D73)^2)</f>
        <v>0</v>
      </c>
    </row>
    <row r="75" spans="1:5" x14ac:dyDescent="0.3">
      <c r="A75" t="s">
        <v>9</v>
      </c>
      <c r="B75">
        <v>30</v>
      </c>
      <c r="C75">
        <v>-4.3969277377321307E-2</v>
      </c>
      <c r="D75">
        <v>-1.6432377939294252E-2</v>
      </c>
      <c r="E75">
        <f>SQRT(ABS(Table1[[#This Row],[lat]]-C74)^2 + ABS(Table1[[#This Row],[lon]]-D74)^2)</f>
        <v>0.1281312180546757</v>
      </c>
    </row>
    <row r="76" spans="1:5" x14ac:dyDescent="0.3">
      <c r="A76" t="s">
        <v>9</v>
      </c>
      <c r="B76">
        <v>35</v>
      </c>
      <c r="C76">
        <v>-4.3969277377321307E-2</v>
      </c>
      <c r="D76">
        <v>-1.6432377939294252E-2</v>
      </c>
      <c r="E76">
        <f>SQRT(ABS(Table1[[#This Row],[lat]]-C75)^2 + ABS(Table1[[#This Row],[lon]]-D75)^2)</f>
        <v>0</v>
      </c>
    </row>
    <row r="77" spans="1:5" x14ac:dyDescent="0.3">
      <c r="A77" t="s">
        <v>9</v>
      </c>
      <c r="B77">
        <v>40</v>
      </c>
      <c r="C77">
        <v>-4.3969277377321307E-2</v>
      </c>
      <c r="D77">
        <v>-1.6432377939294252E-2</v>
      </c>
      <c r="E77">
        <f>SQRT(ABS(Table1[[#This Row],[lat]]-C76)^2 + ABS(Table1[[#This Row],[lon]]-D76)^2)</f>
        <v>0</v>
      </c>
    </row>
    <row r="78" spans="1:5" x14ac:dyDescent="0.3">
      <c r="A78" t="s">
        <v>9</v>
      </c>
      <c r="B78">
        <v>45</v>
      </c>
      <c r="C78">
        <v>-4.3969277377321307E-2</v>
      </c>
      <c r="D78">
        <v>-1.6432377939294252E-2</v>
      </c>
      <c r="E78">
        <f>SQRT(ABS(Table1[[#This Row],[lat]]-C77)^2 + ABS(Table1[[#This Row],[lon]]-D77)^2)</f>
        <v>0</v>
      </c>
    </row>
    <row r="79" spans="1:5" x14ac:dyDescent="0.3">
      <c r="A79" t="s">
        <v>9</v>
      </c>
      <c r="B79">
        <v>50</v>
      </c>
      <c r="C79">
        <v>-4.3969277377321307E-2</v>
      </c>
      <c r="D79">
        <v>-1.6432377939294252E-2</v>
      </c>
      <c r="E79">
        <f>SQRT(ABS(Table1[[#This Row],[lat]]-C78)^2 + ABS(Table1[[#This Row],[lon]]-D78)^2)</f>
        <v>0</v>
      </c>
    </row>
    <row r="80" spans="1:5" x14ac:dyDescent="0.3">
      <c r="A80" t="s">
        <v>9</v>
      </c>
      <c r="B80">
        <v>55</v>
      </c>
      <c r="C80">
        <v>-4.3969277377321307E-2</v>
      </c>
      <c r="D80">
        <v>-1.6432377939294252E-2</v>
      </c>
      <c r="E80">
        <f>SQRT(ABS(Table1[[#This Row],[lat]]-C79)^2 + ABS(Table1[[#This Row],[lon]]-D79)^2)</f>
        <v>0</v>
      </c>
    </row>
    <row r="81" spans="1:5" x14ac:dyDescent="0.3">
      <c r="A81" t="s">
        <v>9</v>
      </c>
      <c r="B81">
        <v>60</v>
      </c>
      <c r="C81">
        <v>-4.3969277377321307E-2</v>
      </c>
      <c r="D81">
        <v>-1.6432377939294252E-2</v>
      </c>
      <c r="E81">
        <f>SQRT(ABS(Table1[[#This Row],[lat]]-C80)^2 + ABS(Table1[[#This Row],[lon]]-D80)^2)</f>
        <v>0</v>
      </c>
    </row>
    <row r="82" spans="1:5" x14ac:dyDescent="0.3">
      <c r="A82" t="s">
        <v>9</v>
      </c>
      <c r="B82">
        <v>65</v>
      </c>
      <c r="C82">
        <v>-4.3969277377321307E-2</v>
      </c>
      <c r="D82">
        <v>-1.6432377939294252E-2</v>
      </c>
      <c r="E82">
        <f>SQRT(ABS(Table1[[#This Row],[lat]]-C81)^2 + ABS(Table1[[#This Row],[lon]]-D81)^2)</f>
        <v>0</v>
      </c>
    </row>
    <row r="83" spans="1:5" x14ac:dyDescent="0.3">
      <c r="A83" t="s">
        <v>9</v>
      </c>
      <c r="B83">
        <v>70</v>
      </c>
      <c r="C83">
        <v>-4.3969277377321307E-2</v>
      </c>
      <c r="D83">
        <v>-1.6432377939294252E-2</v>
      </c>
      <c r="E83">
        <f>SQRT(ABS(Table1[[#This Row],[lat]]-C82)^2 + ABS(Table1[[#This Row],[lon]]-D82)^2)</f>
        <v>0</v>
      </c>
    </row>
    <row r="84" spans="1:5" x14ac:dyDescent="0.3">
      <c r="A84" t="s">
        <v>9</v>
      </c>
      <c r="B84">
        <v>75</v>
      </c>
      <c r="C84">
        <v>-4.3969277377321307E-2</v>
      </c>
      <c r="D84">
        <v>-1.6432377939294252E-2</v>
      </c>
      <c r="E84">
        <f>SQRT(ABS(Table1[[#This Row],[lat]]-C83)^2 + ABS(Table1[[#This Row],[lon]]-D83)^2)</f>
        <v>0</v>
      </c>
    </row>
    <row r="85" spans="1:5" x14ac:dyDescent="0.3">
      <c r="A85" t="s">
        <v>9</v>
      </c>
      <c r="B85">
        <v>80</v>
      </c>
      <c r="C85">
        <v>-4.3969277377321307E-2</v>
      </c>
      <c r="D85">
        <v>-1.6432377939294252E-2</v>
      </c>
      <c r="E85">
        <f>SQRT(ABS(Table1[[#This Row],[lat]]-C84)^2 + ABS(Table1[[#This Row],[lon]]-D84)^2)</f>
        <v>0</v>
      </c>
    </row>
    <row r="86" spans="1:5" x14ac:dyDescent="0.3">
      <c r="A86" t="s">
        <v>9</v>
      </c>
      <c r="B86">
        <v>85</v>
      </c>
      <c r="C86">
        <v>-4.3969277377321307E-2</v>
      </c>
      <c r="D86">
        <v>-1.6432377939294252E-2</v>
      </c>
      <c r="E86">
        <f>SQRT(ABS(Table1[[#This Row],[lat]]-C85)^2 + ABS(Table1[[#This Row],[lon]]-D85)^2)</f>
        <v>0</v>
      </c>
    </row>
    <row r="87" spans="1:5" x14ac:dyDescent="0.3">
      <c r="A87" t="s">
        <v>9</v>
      </c>
      <c r="B87">
        <v>90</v>
      </c>
      <c r="C87">
        <v>-4.3969277377321307E-2</v>
      </c>
      <c r="D87">
        <v>-1.6432377939294252E-2</v>
      </c>
      <c r="E87">
        <f>SQRT(ABS(Table1[[#This Row],[lat]]-C86)^2 + ABS(Table1[[#This Row],[lon]]-D86)^2)</f>
        <v>0</v>
      </c>
    </row>
    <row r="88" spans="1:5" x14ac:dyDescent="0.3">
      <c r="A88" t="s">
        <v>9</v>
      </c>
      <c r="B88">
        <v>95</v>
      </c>
      <c r="C88">
        <v>-4.3969277377321307E-2</v>
      </c>
      <c r="D88">
        <v>-1.6432377939294252E-2</v>
      </c>
      <c r="E88">
        <f>SQRT(ABS(Table1[[#This Row],[lat]]-C87)^2 + ABS(Table1[[#This Row],[lon]]-D87)^2)</f>
        <v>0</v>
      </c>
    </row>
    <row r="89" spans="1:5" x14ac:dyDescent="0.3">
      <c r="A89" t="s">
        <v>9</v>
      </c>
      <c r="B89">
        <v>100</v>
      </c>
      <c r="C89">
        <v>-4.3969277377321307E-2</v>
      </c>
      <c r="D89">
        <v>-1.6432377939294252E-2</v>
      </c>
      <c r="E89">
        <f>SQRT(ABS(Table1[[#This Row],[lat]]-C88)^2 + ABS(Table1[[#This Row],[lon]]-D88)^2)</f>
        <v>0</v>
      </c>
    </row>
    <row r="90" spans="1:5" x14ac:dyDescent="0.3">
      <c r="A90" t="s">
        <v>9</v>
      </c>
      <c r="B90">
        <v>105</v>
      </c>
      <c r="C90">
        <v>-4.3969277377321307E-2</v>
      </c>
      <c r="D90">
        <v>-1.6432377939294252E-2</v>
      </c>
      <c r="E90">
        <f>SQRT(ABS(Table1[[#This Row],[lat]]-C89)^2 + ABS(Table1[[#This Row],[lon]]-D89)^2)</f>
        <v>0</v>
      </c>
    </row>
    <row r="91" spans="1:5" x14ac:dyDescent="0.3">
      <c r="A91" t="s">
        <v>9</v>
      </c>
      <c r="B91">
        <v>110</v>
      </c>
      <c r="C91">
        <v>-4.3969277377321307E-2</v>
      </c>
      <c r="D91">
        <v>-1.6432377939294252E-2</v>
      </c>
      <c r="E91">
        <f>SQRT(ABS(Table1[[#This Row],[lat]]-C90)^2 + ABS(Table1[[#This Row],[lon]]-D90)^2)</f>
        <v>0</v>
      </c>
    </row>
    <row r="92" spans="1:5" x14ac:dyDescent="0.3">
      <c r="A92" t="s">
        <v>9</v>
      </c>
      <c r="B92">
        <v>115</v>
      </c>
      <c r="C92">
        <v>-4.3969277377321307E-2</v>
      </c>
      <c r="D92">
        <v>-1.6432377939294252E-2</v>
      </c>
      <c r="E92">
        <f>SQRT(ABS(Table1[[#This Row],[lat]]-C91)^2 + ABS(Table1[[#This Row],[lon]]-D91)^2)</f>
        <v>0</v>
      </c>
    </row>
    <row r="93" spans="1:5" x14ac:dyDescent="0.3">
      <c r="A93" t="s">
        <v>9</v>
      </c>
      <c r="B93">
        <v>120</v>
      </c>
      <c r="C93">
        <v>-4.3969277377321307E-2</v>
      </c>
      <c r="D93">
        <v>-1.6432377939294252E-2</v>
      </c>
      <c r="E93">
        <f>SQRT(ABS(Table1[[#This Row],[lat]]-C92)^2 + ABS(Table1[[#This Row],[lon]]-D92)^2)</f>
        <v>0</v>
      </c>
    </row>
    <row r="94" spans="1:5" x14ac:dyDescent="0.3">
      <c r="A94" t="s">
        <v>9</v>
      </c>
      <c r="B94">
        <v>125</v>
      </c>
      <c r="C94">
        <v>-4.3969277377321307E-2</v>
      </c>
      <c r="D94">
        <v>-1.6432377939294252E-2</v>
      </c>
      <c r="E94">
        <f>SQRT(ABS(Table1[[#This Row],[lat]]-C93)^2 + ABS(Table1[[#This Row],[lon]]-D93)^2)</f>
        <v>0</v>
      </c>
    </row>
    <row r="95" spans="1:5" x14ac:dyDescent="0.3">
      <c r="A95" t="s">
        <v>9</v>
      </c>
      <c r="B95">
        <v>130</v>
      </c>
      <c r="C95">
        <v>-4.3969277377321307E-2</v>
      </c>
      <c r="D95">
        <v>-1.6432377939294252E-2</v>
      </c>
      <c r="E95">
        <f>SQRT(ABS(Table1[[#This Row],[lat]]-C94)^2 + ABS(Table1[[#This Row],[lon]]-D94)^2)</f>
        <v>0</v>
      </c>
    </row>
    <row r="96" spans="1:5" x14ac:dyDescent="0.3">
      <c r="A96" t="s">
        <v>9</v>
      </c>
      <c r="B96">
        <v>135</v>
      </c>
      <c r="C96">
        <v>-4.3969277377321307E-2</v>
      </c>
      <c r="D96">
        <v>-1.6432377939294252E-2</v>
      </c>
      <c r="E96">
        <f>SQRT(ABS(Table1[[#This Row],[lat]]-C95)^2 + ABS(Table1[[#This Row],[lon]]-D95)^2)</f>
        <v>0</v>
      </c>
    </row>
    <row r="97" spans="1:5" x14ac:dyDescent="0.3">
      <c r="A97" t="s">
        <v>10</v>
      </c>
      <c r="B97">
        <v>0</v>
      </c>
      <c r="C97">
        <v>0.16417270138084741</v>
      </c>
      <c r="D97">
        <v>4.4333626574973362E-2</v>
      </c>
      <c r="E97">
        <f>SQRT(ABS(Table1[[#This Row],[lat]]-C96)^2 + ABS(Table1[[#This Row],[lon]]-D96)^2)</f>
        <v>0.21683078800298161</v>
      </c>
    </row>
    <row r="98" spans="1:5" x14ac:dyDescent="0.3">
      <c r="A98" t="s">
        <v>10</v>
      </c>
      <c r="B98">
        <v>5</v>
      </c>
      <c r="C98">
        <v>0.16417270138084741</v>
      </c>
      <c r="D98">
        <v>4.4333626574973362E-2</v>
      </c>
      <c r="E98">
        <f>SQRT(ABS(Table1[[#This Row],[lat]]-C97)^2 + ABS(Table1[[#This Row],[lon]]-D97)^2)</f>
        <v>0</v>
      </c>
    </row>
    <row r="99" spans="1:5" x14ac:dyDescent="0.3">
      <c r="A99" t="s">
        <v>10</v>
      </c>
      <c r="B99">
        <v>10</v>
      </c>
      <c r="C99">
        <v>0.16417270138084741</v>
      </c>
      <c r="D99">
        <v>4.4333626574973362E-2</v>
      </c>
      <c r="E99">
        <f>SQRT(ABS(Table1[[#This Row],[lat]]-C98)^2 + ABS(Table1[[#This Row],[lon]]-D98)^2)</f>
        <v>0</v>
      </c>
    </row>
    <row r="100" spans="1:5" x14ac:dyDescent="0.3">
      <c r="A100" t="s">
        <v>10</v>
      </c>
      <c r="B100">
        <v>15</v>
      </c>
      <c r="C100">
        <v>0.16417270138084741</v>
      </c>
      <c r="D100">
        <v>4.4333626574973362E-2</v>
      </c>
      <c r="E100">
        <f>SQRT(ABS(Table1[[#This Row],[lat]]-C99)^2 + ABS(Table1[[#This Row],[lon]]-D99)^2)</f>
        <v>0</v>
      </c>
    </row>
    <row r="101" spans="1:5" x14ac:dyDescent="0.3">
      <c r="A101" t="s">
        <v>10</v>
      </c>
      <c r="B101">
        <v>30</v>
      </c>
      <c r="C101">
        <v>0.1225536689494187</v>
      </c>
      <c r="D101">
        <v>0.15033398684161839</v>
      </c>
      <c r="E101">
        <f>SQRT(ABS(Table1[[#This Row],[lat]]-C100)^2 + ABS(Table1[[#This Row],[lon]]-D100)^2)</f>
        <v>0.11387809375462364</v>
      </c>
    </row>
    <row r="102" spans="1:5" x14ac:dyDescent="0.3">
      <c r="A102" t="s">
        <v>10</v>
      </c>
      <c r="B102">
        <v>35</v>
      </c>
      <c r="C102">
        <v>0.1225536689494187</v>
      </c>
      <c r="D102">
        <v>0.15033398684161839</v>
      </c>
      <c r="E102">
        <f>SQRT(ABS(Table1[[#This Row],[lat]]-C101)^2 + ABS(Table1[[#This Row],[lon]]-D101)^2)</f>
        <v>0</v>
      </c>
    </row>
    <row r="103" spans="1:5" x14ac:dyDescent="0.3">
      <c r="A103" t="s">
        <v>10</v>
      </c>
      <c r="B103">
        <v>95</v>
      </c>
      <c r="C103">
        <v>3.272170135692642E-3</v>
      </c>
      <c r="D103">
        <v>-5.2955593590607593E-2</v>
      </c>
      <c r="E103">
        <f>SQRT(ABS(Table1[[#This Row],[lat]]-C102)^2 + ABS(Table1[[#This Row],[lon]]-D102)^2)</f>
        <v>0.23570050800021497</v>
      </c>
    </row>
    <row r="104" spans="1:5" x14ac:dyDescent="0.3">
      <c r="A104" t="s">
        <v>10</v>
      </c>
      <c r="B104">
        <v>120</v>
      </c>
      <c r="C104">
        <v>0.24614489015243621</v>
      </c>
      <c r="D104">
        <v>9.3241282286505633E-2</v>
      </c>
      <c r="E104">
        <f>SQRT(ABS(Table1[[#This Row],[lat]]-C103)^2 + ABS(Table1[[#This Row],[lon]]-D103)^2)</f>
        <v>0.28347960181388637</v>
      </c>
    </row>
    <row r="105" spans="1:5" x14ac:dyDescent="0.3">
      <c r="A105" t="s">
        <v>10</v>
      </c>
      <c r="B105">
        <v>125</v>
      </c>
      <c r="C105">
        <v>0.24614489015243621</v>
      </c>
      <c r="D105">
        <v>9.3241282286505633E-2</v>
      </c>
      <c r="E105">
        <f>SQRT(ABS(Table1[[#This Row],[lat]]-C104)^2 + ABS(Table1[[#This Row],[lon]]-D104)^2)</f>
        <v>0</v>
      </c>
    </row>
    <row r="106" spans="1:5" x14ac:dyDescent="0.3">
      <c r="A106" t="s">
        <v>10</v>
      </c>
      <c r="B106">
        <v>130</v>
      </c>
      <c r="C106">
        <v>0.24614489015243621</v>
      </c>
      <c r="D106">
        <v>9.3241282286505633E-2</v>
      </c>
      <c r="E106">
        <f>SQRT(ABS(Table1[[#This Row],[lat]]-C105)^2 + ABS(Table1[[#This Row],[lon]]-D105)^2)</f>
        <v>0</v>
      </c>
    </row>
    <row r="107" spans="1:5" x14ac:dyDescent="0.3">
      <c r="A107" t="s">
        <v>10</v>
      </c>
      <c r="B107">
        <v>135</v>
      </c>
      <c r="C107">
        <v>0.24614489015243621</v>
      </c>
      <c r="D107">
        <v>9.3241282286505633E-2</v>
      </c>
      <c r="E107">
        <f>SQRT(ABS(Table1[[#This Row],[lat]]-C106)^2 + ABS(Table1[[#This Row],[lon]]-D106)^2)</f>
        <v>0</v>
      </c>
    </row>
    <row r="108" spans="1:5" x14ac:dyDescent="0.3">
      <c r="A108" t="s">
        <v>11</v>
      </c>
      <c r="B108">
        <v>0</v>
      </c>
      <c r="C108">
        <v>-0.122806889131281</v>
      </c>
      <c r="D108">
        <v>-0.22488925585702499</v>
      </c>
      <c r="E108">
        <f>SQRT(ABS(Table1[[#This Row],[lat]]-C107)^2 + ABS(Table1[[#This Row],[lon]]-D107)^2)</f>
        <v>0.48716778909951874</v>
      </c>
    </row>
    <row r="109" spans="1:5" x14ac:dyDescent="0.3">
      <c r="A109" t="s">
        <v>11</v>
      </c>
      <c r="B109">
        <v>40</v>
      </c>
      <c r="C109">
        <v>3.1701897258773482E-2</v>
      </c>
      <c r="D109">
        <v>0.14397027183175229</v>
      </c>
      <c r="E109">
        <f>SQRT(ABS(Table1[[#This Row],[lat]]-C108)^2 + ABS(Table1[[#This Row],[lon]]-D108)^2)</f>
        <v>0.39991288581204198</v>
      </c>
    </row>
    <row r="110" spans="1:5" x14ac:dyDescent="0.3">
      <c r="A110" t="s">
        <v>11</v>
      </c>
      <c r="B110">
        <v>55</v>
      </c>
      <c r="C110">
        <v>2.609805215453875E-2</v>
      </c>
      <c r="D110">
        <v>0.1393846231532184</v>
      </c>
      <c r="E110">
        <f>SQRT(ABS(Table1[[#This Row],[lat]]-C109)^2 + ABS(Table1[[#This Row],[lon]]-D109)^2)</f>
        <v>7.2409428774984283E-3</v>
      </c>
    </row>
    <row r="111" spans="1:5" x14ac:dyDescent="0.3">
      <c r="A111" t="s">
        <v>11</v>
      </c>
      <c r="B111">
        <v>60</v>
      </c>
      <c r="C111">
        <v>2.609805215453875E-2</v>
      </c>
      <c r="D111">
        <v>0.1393846231532184</v>
      </c>
      <c r="E111">
        <f>SQRT(ABS(Table1[[#This Row],[lat]]-C110)^2 + ABS(Table1[[#This Row],[lon]]-D110)^2)</f>
        <v>0</v>
      </c>
    </row>
    <row r="112" spans="1:5" x14ac:dyDescent="0.3">
      <c r="A112" t="s">
        <v>11</v>
      </c>
      <c r="B112">
        <v>65</v>
      </c>
      <c r="C112">
        <v>2.609805215453875E-2</v>
      </c>
      <c r="D112">
        <v>0.1393846231532184</v>
      </c>
      <c r="E112">
        <f>SQRT(ABS(Table1[[#This Row],[lat]]-C111)^2 + ABS(Table1[[#This Row],[lon]]-D111)^2)</f>
        <v>0</v>
      </c>
    </row>
    <row r="113" spans="1:5" x14ac:dyDescent="0.3">
      <c r="A113" t="s">
        <v>11</v>
      </c>
      <c r="B113">
        <v>70</v>
      </c>
      <c r="C113">
        <v>2.609805215453875E-2</v>
      </c>
      <c r="D113">
        <v>0.1393846231532184</v>
      </c>
      <c r="E113">
        <f>SQRT(ABS(Table1[[#This Row],[lat]]-C112)^2 + ABS(Table1[[#This Row],[lon]]-D112)^2)</f>
        <v>0</v>
      </c>
    </row>
    <row r="114" spans="1:5" x14ac:dyDescent="0.3">
      <c r="A114" t="s">
        <v>11</v>
      </c>
      <c r="B114">
        <v>75</v>
      </c>
      <c r="C114">
        <v>2.609805215453875E-2</v>
      </c>
      <c r="D114">
        <v>0.1393846231532184</v>
      </c>
      <c r="E114">
        <f>SQRT(ABS(Table1[[#This Row],[lat]]-C113)^2 + ABS(Table1[[#This Row],[lon]]-D113)^2)</f>
        <v>0</v>
      </c>
    </row>
    <row r="115" spans="1:5" x14ac:dyDescent="0.3">
      <c r="A115" t="s">
        <v>11</v>
      </c>
      <c r="B115">
        <v>80</v>
      </c>
      <c r="C115">
        <v>2.609805215453875E-2</v>
      </c>
      <c r="D115">
        <v>0.1393846231532184</v>
      </c>
      <c r="E115">
        <f>SQRT(ABS(Table1[[#This Row],[lat]]-C114)^2 + ABS(Table1[[#This Row],[lon]]-D114)^2)</f>
        <v>0</v>
      </c>
    </row>
    <row r="116" spans="1:5" x14ac:dyDescent="0.3">
      <c r="A116" t="s">
        <v>11</v>
      </c>
      <c r="B116">
        <v>85</v>
      </c>
      <c r="C116">
        <v>2.609805215453875E-2</v>
      </c>
      <c r="D116">
        <v>0.1393846231532184</v>
      </c>
      <c r="E116">
        <f>SQRT(ABS(Table1[[#This Row],[lat]]-C115)^2 + ABS(Table1[[#This Row],[lon]]-D115)^2)</f>
        <v>0</v>
      </c>
    </row>
    <row r="117" spans="1:5" x14ac:dyDescent="0.3">
      <c r="A117" t="s">
        <v>11</v>
      </c>
      <c r="B117">
        <v>90</v>
      </c>
      <c r="C117">
        <v>2.609805215453875E-2</v>
      </c>
      <c r="D117">
        <v>0.1393846231532184</v>
      </c>
      <c r="E117">
        <f>SQRT(ABS(Table1[[#This Row],[lat]]-C116)^2 + ABS(Table1[[#This Row],[lon]]-D116)^2)</f>
        <v>0</v>
      </c>
    </row>
    <row r="118" spans="1:5" x14ac:dyDescent="0.3">
      <c r="A118" t="s">
        <v>12</v>
      </c>
      <c r="B118">
        <v>0</v>
      </c>
      <c r="C118">
        <v>-9.2391179880684848E-2</v>
      </c>
      <c r="D118">
        <v>0.23372449642799731</v>
      </c>
      <c r="E118">
        <f>SQRT(ABS(Table1[[#This Row],[lat]]-C117)^2 + ABS(Table1[[#This Row],[lon]]-D117)^2)</f>
        <v>0.15145860753948057</v>
      </c>
    </row>
    <row r="119" spans="1:5" x14ac:dyDescent="0.3">
      <c r="A119" t="s">
        <v>12</v>
      </c>
      <c r="B119">
        <v>5</v>
      </c>
      <c r="C119">
        <v>-9.2391179880684848E-2</v>
      </c>
      <c r="D119">
        <v>0.23372449642799731</v>
      </c>
      <c r="E119">
        <f>SQRT(ABS(Table1[[#This Row],[lat]]-C118)^2 + ABS(Table1[[#This Row],[lon]]-D118)^2)</f>
        <v>0</v>
      </c>
    </row>
    <row r="120" spans="1:5" x14ac:dyDescent="0.3">
      <c r="A120" t="s">
        <v>12</v>
      </c>
      <c r="B120">
        <v>10</v>
      </c>
      <c r="C120">
        <v>-9.2391179880684848E-2</v>
      </c>
      <c r="D120">
        <v>0.23372449642799731</v>
      </c>
      <c r="E120">
        <f>SQRT(ABS(Table1[[#This Row],[lat]]-C119)^2 + ABS(Table1[[#This Row],[lon]]-D119)^2)</f>
        <v>0</v>
      </c>
    </row>
    <row r="121" spans="1:5" x14ac:dyDescent="0.3">
      <c r="A121" t="s">
        <v>12</v>
      </c>
      <c r="B121">
        <v>15</v>
      </c>
      <c r="C121">
        <v>-9.2391179880684848E-2</v>
      </c>
      <c r="D121">
        <v>0.23372449642799731</v>
      </c>
      <c r="E121">
        <f>SQRT(ABS(Table1[[#This Row],[lat]]-C120)^2 + ABS(Table1[[#This Row],[lon]]-D120)^2)</f>
        <v>0</v>
      </c>
    </row>
    <row r="122" spans="1:5" x14ac:dyDescent="0.3">
      <c r="A122" t="s">
        <v>12</v>
      </c>
      <c r="B122">
        <v>20</v>
      </c>
      <c r="C122">
        <v>-9.2391179880684848E-2</v>
      </c>
      <c r="D122">
        <v>0.23372449642799731</v>
      </c>
      <c r="E122">
        <f>SQRT(ABS(Table1[[#This Row],[lat]]-C121)^2 + ABS(Table1[[#This Row],[lon]]-D121)^2)</f>
        <v>0</v>
      </c>
    </row>
    <row r="123" spans="1:5" x14ac:dyDescent="0.3">
      <c r="A123" t="s">
        <v>12</v>
      </c>
      <c r="B123">
        <v>25</v>
      </c>
      <c r="C123">
        <v>-9.2391179880684848E-2</v>
      </c>
      <c r="D123">
        <v>0.23372449642799731</v>
      </c>
      <c r="E123">
        <f>SQRT(ABS(Table1[[#This Row],[lat]]-C122)^2 + ABS(Table1[[#This Row],[lon]]-D122)^2)</f>
        <v>0</v>
      </c>
    </row>
    <row r="124" spans="1:5" x14ac:dyDescent="0.3">
      <c r="A124" t="s">
        <v>12</v>
      </c>
      <c r="B124">
        <v>30</v>
      </c>
      <c r="C124">
        <v>-9.2391179880684848E-2</v>
      </c>
      <c r="D124">
        <v>0.23372449642799731</v>
      </c>
      <c r="E124">
        <f>SQRT(ABS(Table1[[#This Row],[lat]]-C123)^2 + ABS(Table1[[#This Row],[lon]]-D123)^2)</f>
        <v>0</v>
      </c>
    </row>
    <row r="125" spans="1:5" x14ac:dyDescent="0.3">
      <c r="A125" t="s">
        <v>12</v>
      </c>
      <c r="B125">
        <v>35</v>
      </c>
      <c r="C125">
        <v>-9.2391179880684848E-2</v>
      </c>
      <c r="D125">
        <v>0.23372449642799731</v>
      </c>
      <c r="E125">
        <f>SQRT(ABS(Table1[[#This Row],[lat]]-C124)^2 + ABS(Table1[[#This Row],[lon]]-D124)^2)</f>
        <v>0</v>
      </c>
    </row>
    <row r="126" spans="1:5" x14ac:dyDescent="0.3">
      <c r="A126" t="s">
        <v>12</v>
      </c>
      <c r="B126">
        <v>40</v>
      </c>
      <c r="C126">
        <v>-9.2391179880684848E-2</v>
      </c>
      <c r="D126">
        <v>0.23372449642799731</v>
      </c>
      <c r="E126">
        <f>SQRT(ABS(Table1[[#This Row],[lat]]-C125)^2 + ABS(Table1[[#This Row],[lon]]-D125)^2)</f>
        <v>0</v>
      </c>
    </row>
    <row r="127" spans="1:5" x14ac:dyDescent="0.3">
      <c r="A127" t="s">
        <v>12</v>
      </c>
      <c r="B127">
        <v>45</v>
      </c>
      <c r="C127">
        <v>-9.2391179880684848E-2</v>
      </c>
      <c r="D127">
        <v>0.23372449642799731</v>
      </c>
      <c r="E127">
        <f>SQRT(ABS(Table1[[#This Row],[lat]]-C126)^2 + ABS(Table1[[#This Row],[lon]]-D126)^2)</f>
        <v>0</v>
      </c>
    </row>
    <row r="128" spans="1:5" x14ac:dyDescent="0.3">
      <c r="A128" t="s">
        <v>12</v>
      </c>
      <c r="B128">
        <v>50</v>
      </c>
      <c r="C128">
        <v>-9.2391179880684848E-2</v>
      </c>
      <c r="D128">
        <v>0.23372449642799731</v>
      </c>
      <c r="E128">
        <f>SQRT(ABS(Table1[[#This Row],[lat]]-C127)^2 + ABS(Table1[[#This Row],[lon]]-D127)^2)</f>
        <v>0</v>
      </c>
    </row>
    <row r="129" spans="1:5" x14ac:dyDescent="0.3">
      <c r="A129" t="s">
        <v>12</v>
      </c>
      <c r="B129">
        <v>60</v>
      </c>
      <c r="C129">
        <v>-0.20102471602524191</v>
      </c>
      <c r="D129">
        <v>0.19990603337016499</v>
      </c>
      <c r="E129">
        <f>SQRT(ABS(Table1[[#This Row],[lat]]-C128)^2 + ABS(Table1[[#This Row],[lon]]-D128)^2)</f>
        <v>0.11377580418904872</v>
      </c>
    </row>
    <row r="130" spans="1:5" x14ac:dyDescent="0.3">
      <c r="A130" t="s">
        <v>12</v>
      </c>
      <c r="B130">
        <v>65</v>
      </c>
      <c r="C130">
        <v>-0.20102471602524191</v>
      </c>
      <c r="D130">
        <v>0.19990603337016499</v>
      </c>
      <c r="E130">
        <f>SQRT(ABS(Table1[[#This Row],[lat]]-C129)^2 + ABS(Table1[[#This Row],[lon]]-D129)^2)</f>
        <v>0</v>
      </c>
    </row>
    <row r="131" spans="1:5" x14ac:dyDescent="0.3">
      <c r="A131" t="s">
        <v>12</v>
      </c>
      <c r="B131">
        <v>70</v>
      </c>
      <c r="C131">
        <v>-0.20102471602524191</v>
      </c>
      <c r="D131">
        <v>0.19990603337016499</v>
      </c>
      <c r="E131">
        <f>SQRT(ABS(Table1[[#This Row],[lat]]-C130)^2 + ABS(Table1[[#This Row],[lon]]-D130)^2)</f>
        <v>0</v>
      </c>
    </row>
    <row r="132" spans="1:5" x14ac:dyDescent="0.3">
      <c r="A132" t="s">
        <v>12</v>
      </c>
      <c r="B132">
        <v>75</v>
      </c>
      <c r="C132">
        <v>-0.20102471602524191</v>
      </c>
      <c r="D132">
        <v>0.19990603337016499</v>
      </c>
      <c r="E132">
        <f>SQRT(ABS(Table1[[#This Row],[lat]]-C131)^2 + ABS(Table1[[#This Row],[lon]]-D131)^2)</f>
        <v>0</v>
      </c>
    </row>
    <row r="133" spans="1:5" x14ac:dyDescent="0.3">
      <c r="A133" t="s">
        <v>12</v>
      </c>
      <c r="B133">
        <v>80</v>
      </c>
      <c r="C133">
        <v>-0.20102471602524191</v>
      </c>
      <c r="D133">
        <v>0.19990603337016499</v>
      </c>
      <c r="E133">
        <f>SQRT(ABS(Table1[[#This Row],[lat]]-C132)^2 + ABS(Table1[[#This Row],[lon]]-D132)^2)</f>
        <v>0</v>
      </c>
    </row>
    <row r="134" spans="1:5" x14ac:dyDescent="0.3">
      <c r="A134" t="s">
        <v>12</v>
      </c>
      <c r="B134">
        <v>85</v>
      </c>
      <c r="C134">
        <v>-0.20102471602524191</v>
      </c>
      <c r="D134">
        <v>0.19990603337016499</v>
      </c>
      <c r="E134">
        <f>SQRT(ABS(Table1[[#This Row],[lat]]-C133)^2 + ABS(Table1[[#This Row],[lon]]-D133)^2)</f>
        <v>0</v>
      </c>
    </row>
    <row r="135" spans="1:5" x14ac:dyDescent="0.3">
      <c r="A135" t="s">
        <v>12</v>
      </c>
      <c r="B135">
        <v>90</v>
      </c>
      <c r="C135">
        <v>-0.20102471602524191</v>
      </c>
      <c r="D135">
        <v>0.19990603337016499</v>
      </c>
      <c r="E135">
        <f>SQRT(ABS(Table1[[#This Row],[lat]]-C134)^2 + ABS(Table1[[#This Row],[lon]]-D134)^2)</f>
        <v>0</v>
      </c>
    </row>
    <row r="136" spans="1:5" x14ac:dyDescent="0.3">
      <c r="A136" t="s">
        <v>12</v>
      </c>
      <c r="B136">
        <v>95</v>
      </c>
      <c r="C136">
        <v>-0.20102471602524191</v>
      </c>
      <c r="D136">
        <v>0.19990603337016499</v>
      </c>
      <c r="E136">
        <f>SQRT(ABS(Table1[[#This Row],[lat]]-C135)^2 + ABS(Table1[[#This Row],[lon]]-D135)^2)</f>
        <v>0</v>
      </c>
    </row>
    <row r="137" spans="1:5" x14ac:dyDescent="0.3">
      <c r="A137" t="s">
        <v>12</v>
      </c>
      <c r="B137">
        <v>115</v>
      </c>
      <c r="C137">
        <v>-1.7449324644823631E-2</v>
      </c>
      <c r="D137">
        <v>-0.23875029584497981</v>
      </c>
      <c r="E137">
        <f>SQRT(ABS(Table1[[#This Row],[lat]]-C136)^2 + ABS(Table1[[#This Row],[lon]]-D136)^2)</f>
        <v>0.47552003057808118</v>
      </c>
    </row>
    <row r="138" spans="1:5" x14ac:dyDescent="0.3">
      <c r="A138" t="s">
        <v>12</v>
      </c>
      <c r="B138">
        <v>120</v>
      </c>
      <c r="C138">
        <v>-1.7449324644823631E-2</v>
      </c>
      <c r="D138">
        <v>-0.23875029584497981</v>
      </c>
      <c r="E138">
        <f>SQRT(ABS(Table1[[#This Row],[lat]]-C137)^2 + ABS(Table1[[#This Row],[lon]]-D137)^2)</f>
        <v>0</v>
      </c>
    </row>
    <row r="139" spans="1:5" x14ac:dyDescent="0.3">
      <c r="A139" t="s">
        <v>12</v>
      </c>
      <c r="B139">
        <v>125</v>
      </c>
      <c r="C139">
        <v>-1.7449324644823631E-2</v>
      </c>
      <c r="D139">
        <v>-0.23875029584497981</v>
      </c>
      <c r="E139">
        <f>SQRT(ABS(Table1[[#This Row],[lat]]-C138)^2 + ABS(Table1[[#This Row],[lon]]-D138)^2)</f>
        <v>0</v>
      </c>
    </row>
    <row r="140" spans="1:5" x14ac:dyDescent="0.3">
      <c r="A140" t="s">
        <v>12</v>
      </c>
      <c r="B140">
        <v>135</v>
      </c>
      <c r="C140">
        <v>-7.7363776809943774E-2</v>
      </c>
      <c r="D140">
        <v>0.1714694804928186</v>
      </c>
      <c r="E140">
        <f>SQRT(ABS(Table1[[#This Row],[lat]]-C139)^2 + ABS(Table1[[#This Row],[lon]]-D139)^2)</f>
        <v>0.41457207633520105</v>
      </c>
    </row>
    <row r="141" spans="1:5" x14ac:dyDescent="0.3">
      <c r="A141" t="s">
        <v>13</v>
      </c>
      <c r="B141">
        <v>0</v>
      </c>
      <c r="C141">
        <v>-0.21178779583697729</v>
      </c>
      <c r="D141">
        <v>-0.1939702013384407</v>
      </c>
      <c r="E141">
        <f>SQRT(ABS(Table1[[#This Row],[lat]]-C140)^2 + ABS(Table1[[#This Row],[lon]]-D140)^2)</f>
        <v>0.38937896443993003</v>
      </c>
    </row>
    <row r="142" spans="1:5" x14ac:dyDescent="0.3">
      <c r="A142" t="s">
        <v>13</v>
      </c>
      <c r="B142">
        <v>5</v>
      </c>
      <c r="C142">
        <v>-0.21178779583697729</v>
      </c>
      <c r="D142">
        <v>-0.1939702013384407</v>
      </c>
      <c r="E142">
        <f>SQRT(ABS(Table1[[#This Row],[lat]]-C141)^2 + ABS(Table1[[#This Row],[lon]]-D141)^2)</f>
        <v>0</v>
      </c>
    </row>
    <row r="143" spans="1:5" x14ac:dyDescent="0.3">
      <c r="A143" t="s">
        <v>13</v>
      </c>
      <c r="B143">
        <v>10</v>
      </c>
      <c r="C143">
        <v>-0.21178779583697729</v>
      </c>
      <c r="D143">
        <v>-0.1939702013384407</v>
      </c>
      <c r="E143">
        <f>SQRT(ABS(Table1[[#This Row],[lat]]-C142)^2 + ABS(Table1[[#This Row],[lon]]-D142)^2)</f>
        <v>0</v>
      </c>
    </row>
    <row r="144" spans="1:5" x14ac:dyDescent="0.3">
      <c r="A144" t="s">
        <v>13</v>
      </c>
      <c r="B144">
        <v>15</v>
      </c>
      <c r="C144">
        <v>-0.21178779583697729</v>
      </c>
      <c r="D144">
        <v>-0.1939702013384407</v>
      </c>
      <c r="E144">
        <f>SQRT(ABS(Table1[[#This Row],[lat]]-C143)^2 + ABS(Table1[[#This Row],[lon]]-D143)^2)</f>
        <v>0</v>
      </c>
    </row>
    <row r="145" spans="1:5" x14ac:dyDescent="0.3">
      <c r="A145" t="s">
        <v>13</v>
      </c>
      <c r="B145">
        <v>75</v>
      </c>
      <c r="C145">
        <v>-7.1845012746681647E-2</v>
      </c>
      <c r="D145">
        <v>0.22701120068961331</v>
      </c>
      <c r="E145">
        <f>SQRT(ABS(Table1[[#This Row],[lat]]-C144)^2 + ABS(Table1[[#This Row],[lon]]-D144)^2)</f>
        <v>0.44363196840688068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Lund</cp:lastModifiedBy>
  <dcterms:created xsi:type="dcterms:W3CDTF">2026-05-27T22:40:29Z</dcterms:created>
  <dcterms:modified xsi:type="dcterms:W3CDTF">2026-05-27T23:03:15Z</dcterms:modified>
</cp:coreProperties>
</file>